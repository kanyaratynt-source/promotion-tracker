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rhq-my.sharepoint.com/personal/kanyarat_yim_trrgroup_com/Documents/Work/GT/SCN Promotion TNP/"/>
    </mc:Choice>
  </mc:AlternateContent>
  <xr:revisionPtr revIDLastSave="254" documentId="8_{59D30D13-1ABB-4629-952A-08C34D9C2A73}" xr6:coauthVersionLast="47" xr6:coauthVersionMax="47" xr10:uidLastSave="{2D7FFC92-8694-4FDA-8403-DC31CBDC52B6}"/>
  <bookViews>
    <workbookView xWindow="-108" yWindow="-108" windowWidth="23256" windowHeight="13896" xr2:uid="{BDC08790-BAE9-40AF-8BA7-7B3039697FA8}"/>
  </bookViews>
  <sheets>
    <sheet name="รายการโปรโมชั่น" sheetId="1" r:id="rId1"/>
    <sheet name="ณ ขจร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2" l="1"/>
  <c r="L6" i="2"/>
  <c r="K6" i="2"/>
  <c r="E6" i="2"/>
  <c r="L5" i="2"/>
  <c r="K5" i="2"/>
  <c r="E5" i="2"/>
  <c r="L4" i="2"/>
  <c r="K4" i="2"/>
  <c r="E4" i="2"/>
  <c r="L3" i="2"/>
  <c r="K3" i="2"/>
  <c r="E3" i="2"/>
  <c r="L2" i="2"/>
  <c r="K2" i="2"/>
  <c r="E2" i="2"/>
  <c r="L6" i="1"/>
  <c r="L5" i="1"/>
  <c r="L4" i="1"/>
  <c r="L3" i="1"/>
  <c r="E6" i="1"/>
  <c r="E5" i="1"/>
  <c r="E4" i="1"/>
  <c r="E3" i="1"/>
  <c r="K6" i="1"/>
  <c r="K5" i="1"/>
  <c r="K4" i="1"/>
  <c r="K3" i="1"/>
  <c r="L2" i="1"/>
  <c r="K2" i="1"/>
  <c r="E2" i="1"/>
</calcChain>
</file>

<file path=xl/sharedStrings.xml><?xml version="1.0" encoding="utf-8"?>
<sst xmlns="http://schemas.openxmlformats.org/spreadsheetml/2006/main" count="100" uniqueCount="26">
  <si>
    <t>month</t>
  </si>
  <si>
    <t>Memo</t>
  </si>
  <si>
    <t>รายละเอียด</t>
  </si>
  <si>
    <t>Promotion</t>
  </si>
  <si>
    <t>Incentive</t>
  </si>
  <si>
    <t>Product</t>
  </si>
  <si>
    <t>SCN</t>
  </si>
  <si>
    <t>Inv.</t>
  </si>
  <si>
    <t>หมายเหตุ</t>
  </si>
  <si>
    <t>ASM</t>
  </si>
  <si>
    <t>✓</t>
  </si>
  <si>
    <t>Customer Code</t>
  </si>
  <si>
    <t>Customer Name</t>
  </si>
  <si>
    <t>บริษัท ณ ขจร จำกัด</t>
  </si>
  <si>
    <t>ยอดจ่าย</t>
  </si>
  <si>
    <t>ASM-NO</t>
  </si>
  <si>
    <t>Period</t>
  </si>
  <si>
    <t>1-31/7/2026</t>
  </si>
  <si>
    <r>
      <rPr>
        <b/>
        <sz val="11"/>
        <color theme="1"/>
        <rFont val="IBM Plex Sans Thai"/>
        <family val="2"/>
      </rPr>
      <t>ร้านค้าที่ ยังไม่เคยซื้อสินค้า</t>
    </r>
    <r>
      <rPr>
        <sz val="11"/>
        <color theme="1"/>
        <rFont val="IBM Plex Sans Thai"/>
        <family val="2"/>
      </rPr>
      <t xml:space="preserve"> ซื้อสินค้าขั้นต่ำ 1 กระสอบ รับ Incentive กระสอบละ 5 บาท (คำนวณ Incentive ตามจำนวนกระสอบ)
</t>
    </r>
    <r>
      <rPr>
        <b/>
        <sz val="11"/>
        <color theme="1"/>
        <rFont val="IBM Plex Sans Thai"/>
        <family val="2"/>
      </rPr>
      <t>ร้านค้าปลีกทั่วไป Retail &amp; Wet Market</t>
    </r>
    <r>
      <rPr>
        <sz val="11"/>
        <color theme="1"/>
        <rFont val="IBM Plex Sans Thai"/>
        <family val="2"/>
      </rPr>
      <t xml:space="preserve"> รับ Incentive กระสอบละ 5 บาท
</t>
    </r>
    <r>
      <rPr>
        <b/>
        <sz val="11"/>
        <color theme="1"/>
        <rFont val="IBM Plex Sans Thai"/>
        <family val="2"/>
      </rPr>
      <t>ร้านค้าส่ง Wholesale</t>
    </r>
    <r>
      <rPr>
        <sz val="11"/>
        <color theme="1"/>
        <rFont val="IBM Plex Sans Thai"/>
        <family val="2"/>
      </rPr>
      <t xml:space="preserve">
1–19 กระสอบ รับ Incentive กระสอบละ 5 บาท
20–49 กระสอบ รับ Incentive กระสอบละ 7 บาท
50 กระสอบขึ้นไป รับ Incentive กระสอบละ 10 บาท</t>
    </r>
  </si>
  <si>
    <t>1/5/2026 
- 30/6/2026</t>
  </si>
  <si>
    <t>Refined 1 kg
Natural
Caster
Caramel</t>
  </si>
  <si>
    <t>1/5/2026 
- 30/6/202</t>
  </si>
  <si>
    <t>1-30/6/2026</t>
  </si>
  <si>
    <t>น้ำตาลทรายขาวบริสุทธิ์ 1 กก. ลด 10 บาท/กส.
น้ำตาลทรายธรรมชาติ 1 กก. ลด 10 บาท/กส.
น้ำตาลเบเกอรี่ 1 กก. ลด 50 บาท/ลัง
น้ำตาลเคลือบคาราเมล 1 กก. ลด 50 บาท/ลัง</t>
  </si>
  <si>
    <t>Status</t>
  </si>
  <si>
    <t>Finish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</si>
</sst>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IBM Plex Sans Thai"/>
      <family val="2"/>
    </font>
    <font>
      <b/>
      <sz val="11"/>
      <color theme="1"/>
      <name val="IBM Plex Sans Thai"/>
      <family val="2"/>
    </font>
    <font>
      <u/>
      <sz val="11"/>
      <color theme="10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b/>
      <sz val="14"/>
      <color theme="1"/>
      <name val="IBM Plex Sans Tha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43" fontId="3" fillId="3" borderId="1" xfId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2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4" fillId="0" borderId="0" xfId="2" applyAlignment="1">
      <alignment horizontal="center" vertical="center"/>
    </xf>
    <xf numFmtId="43" fontId="2" fillId="0" borderId="0" xfId="1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4" borderId="0" xfId="0" applyFont="1" applyFill="1" applyAlignment="1">
      <alignment horizontal="center" vertical="center"/>
    </xf>
    <xf numFmtId="43" fontId="6" fillId="4" borderId="0" xfId="1" applyFont="1" applyFill="1" applyAlignment="1">
      <alignment horizontal="left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B3EB0-60BF-4D5B-95FF-C0CE60410411}">
  <dimension ref="A1:O6"/>
  <sheetViews>
    <sheetView tabSelected="1" zoomScale="55" zoomScaleNormal="5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Q4" sqref="Q4"/>
    </sheetView>
  </sheetViews>
  <sheetFormatPr defaultRowHeight="19.8" x14ac:dyDescent="0.25"/>
  <cols>
    <col min="1" max="1" width="11.09765625" style="8" customWidth="1"/>
    <col min="2" max="2" width="13.8984375" style="6" bestFit="1" customWidth="1"/>
    <col min="3" max="3" width="17.59765625" style="6" customWidth="1"/>
    <col min="4" max="4" width="59" style="6" bestFit="1" customWidth="1"/>
    <col min="5" max="5" width="10.296875" style="8" bestFit="1" customWidth="1"/>
    <col min="6" max="6" width="15.59765625" style="6" customWidth="1"/>
    <col min="7" max="8" width="11.69921875" style="8" customWidth="1"/>
    <col min="9" max="9" width="11.69921875" style="6" customWidth="1"/>
    <col min="10" max="10" width="11.69921875" style="11" customWidth="1"/>
    <col min="11" max="11" width="16.3984375" style="8" customWidth="1"/>
    <col min="12" max="12" width="13.3984375" style="8" bestFit="1" customWidth="1"/>
    <col min="13" max="13" width="11.69921875" style="6" customWidth="1"/>
    <col min="14" max="14" width="8.796875" style="6"/>
    <col min="15" max="15" width="10.59765625" style="6" customWidth="1"/>
    <col min="16" max="16384" width="8.796875" style="6"/>
  </cols>
  <sheetData>
    <row r="1" spans="1:15" s="1" customFormat="1" ht="51.6" customHeight="1" thickBot="1" x14ac:dyDescent="0.7">
      <c r="A1" s="2" t="s">
        <v>0</v>
      </c>
      <c r="B1" s="2" t="s">
        <v>11</v>
      </c>
      <c r="C1" s="2" t="s">
        <v>12</v>
      </c>
      <c r="D1" s="2" t="s">
        <v>2</v>
      </c>
      <c r="E1" s="2" t="s">
        <v>1</v>
      </c>
      <c r="F1" s="2" t="s">
        <v>16</v>
      </c>
      <c r="G1" s="2" t="s">
        <v>3</v>
      </c>
      <c r="H1" s="2" t="s">
        <v>4</v>
      </c>
      <c r="I1" s="2" t="s">
        <v>5</v>
      </c>
      <c r="J1" s="3" t="s">
        <v>14</v>
      </c>
      <c r="K1" s="4" t="s">
        <v>6</v>
      </c>
      <c r="L1" s="4" t="s">
        <v>7</v>
      </c>
      <c r="M1" s="2" t="s">
        <v>8</v>
      </c>
      <c r="N1" s="2" t="s">
        <v>9</v>
      </c>
      <c r="O1" s="2" t="s">
        <v>24</v>
      </c>
    </row>
    <row r="2" spans="1:15" ht="79.2" x14ac:dyDescent="0.25">
      <c r="A2" s="5">
        <v>6</v>
      </c>
      <c r="B2" s="6">
        <v>160006</v>
      </c>
      <c r="C2" s="6" t="s">
        <v>13</v>
      </c>
      <c r="D2" s="12" t="s">
        <v>23</v>
      </c>
      <c r="E2" s="7" t="str">
        <f>HYPERLINK("https://trrhq-my.sharepoint.com/:b:/g/personal/kanyarat_yim_trrgroup_com/IQAd5mFNcDXoT5bfaog_jS_WAUpMarlbXaGdm2VU6gFCCwY?e=Goougy","Open File")</f>
        <v>Open File</v>
      </c>
      <c r="F2" s="6" t="s">
        <v>22</v>
      </c>
      <c r="G2" s="8" t="s">
        <v>10</v>
      </c>
      <c r="H2" s="9"/>
      <c r="I2" s="12" t="s">
        <v>20</v>
      </c>
      <c r="J2" s="11">
        <v>2650</v>
      </c>
      <c r="K2" s="10" t="str">
        <f>HYPERLINK("https://trrhq-my.sharepoint.com/:b:/g/personal/kanyarat_yim_trrgroup_com/IQArmgM8J6lCR6l5vHsnp-ZnAUNmLaw_CL-cw0nWkFzgyxk?e=vjaKB8","SCN-26-00030")</f>
        <v>SCN-26-00030</v>
      </c>
      <c r="L2" s="10" t="str">
        <f>HYPERLINK("https://trrhq-my.sharepoint.com/:b:/g/personal/kanyarat_yim_trrgroup_com/IQCMW9fSrcToS5qxEw6el7RpAQTmm7yZR-Rm05_NK1itL0g?e=gMR8Rt","CN-2608-0004")</f>
        <v>CN-2608-0004</v>
      </c>
      <c r="N2" s="6" t="s">
        <v>15</v>
      </c>
      <c r="O2" s="13" t="s">
        <v>25</v>
      </c>
    </row>
    <row r="3" spans="1:15" ht="79.2" x14ac:dyDescent="0.25">
      <c r="A3" s="8">
        <v>7</v>
      </c>
      <c r="B3" s="6">
        <v>160006</v>
      </c>
      <c r="C3" s="6" t="s">
        <v>13</v>
      </c>
      <c r="D3" s="12" t="s">
        <v>23</v>
      </c>
      <c r="E3" s="7" t="str">
        <f>HYPERLINK("https://trrhq-my.sharepoint.com/:b:/g/personal/kanyarat_yim_trrgroup_com/IQCqQlMuW1nLR5d0hKwRjVtsAZtSlfFOJqT5PWj9HmqpYWY?e=73xEvq","Open File")</f>
        <v>Open File</v>
      </c>
      <c r="F3" s="6" t="s">
        <v>17</v>
      </c>
      <c r="G3" s="8" t="s">
        <v>10</v>
      </c>
      <c r="H3" s="9"/>
      <c r="I3" s="12" t="s">
        <v>20</v>
      </c>
      <c r="J3" s="11">
        <v>5200</v>
      </c>
      <c r="K3" s="10" t="str">
        <f>HYPERLINK("https://trrhq-my.sharepoint.com/:b:/g/personal/kanyarat_yim_trrgroup_com/IQCcwiAWx3weQbqdFUWVvZXwASF4g5DymeUb3-BM49bot74?e=ggaUug","SCN-26-00031")</f>
        <v>SCN-26-00031</v>
      </c>
      <c r="L3" s="10" t="str">
        <f>HYPERLINK("https://trrhq-my.sharepoint.com/:b:/g/personal/kanyarat_yim_trrgroup_com/IQDHlLlEdf99RIJtCs-y8qnVAWdKcWY1HxxoFKB7AoGuiOw?e=ek4lqg","CN-2608-0005")</f>
        <v>CN-2608-0005</v>
      </c>
      <c r="N3" s="6" t="s">
        <v>15</v>
      </c>
      <c r="O3" s="13" t="s">
        <v>25</v>
      </c>
    </row>
    <row r="4" spans="1:15" ht="138.6" x14ac:dyDescent="0.25">
      <c r="A4" s="8">
        <v>7</v>
      </c>
      <c r="B4" s="6">
        <v>160006</v>
      </c>
      <c r="C4" s="6" t="s">
        <v>13</v>
      </c>
      <c r="D4" s="12" t="s">
        <v>18</v>
      </c>
      <c r="E4" s="7" t="str">
        <f>HYPERLINK("https://trrhq-my.sharepoint.com/:b:/g/personal/kanyarat_yim_trrgroup_com/IQDt6lqFvPfkTrk7U4mekXqfASoxFu199r_6EdBIpP1NJro?e=EIxhNt","Open File")</f>
        <v>Open File</v>
      </c>
      <c r="F4" s="6" t="s">
        <v>17</v>
      </c>
      <c r="G4" s="9"/>
      <c r="H4" s="8" t="s">
        <v>10</v>
      </c>
      <c r="I4" s="12" t="s">
        <v>20</v>
      </c>
      <c r="J4" s="11">
        <v>1855</v>
      </c>
      <c r="K4" s="10" t="str">
        <f>HYPERLINK("https://trrhq-my.sharepoint.com/:b:/g/personal/kanyarat_yim_trrgroup_com/IQAR3D64oe9tTosUusZ4TKB_ASCNGdtrNGW_zBSRK896smM?e=1MRmql","SCN-26-00032")</f>
        <v>SCN-26-00032</v>
      </c>
      <c r="L4" s="10" t="str">
        <f>HYPERLINK("https://trrhq-my.sharepoint.com/:b:/g/personal/kanyarat_yim_trrgroup_com/IQCURz_Wq9WIR5Soyg5J9xBHAWE_-Tb8jJd4jp1Orx2yhl0?e=ynoMNQ","CN-2608-0006")</f>
        <v>CN-2608-0006</v>
      </c>
      <c r="N4" s="6" t="s">
        <v>15</v>
      </c>
      <c r="O4" s="13" t="s">
        <v>25</v>
      </c>
    </row>
    <row r="5" spans="1:15" ht="138.6" x14ac:dyDescent="0.25">
      <c r="A5" s="8">
        <v>6</v>
      </c>
      <c r="B5" s="6">
        <v>160006</v>
      </c>
      <c r="C5" s="6" t="s">
        <v>13</v>
      </c>
      <c r="D5" s="12" t="s">
        <v>18</v>
      </c>
      <c r="E5" s="7" t="str">
        <f>HYPERLINK("https://trrhq-my.sharepoint.com/:b:/g/personal/kanyarat_yim_trrgroup_com/IQDVhvezg4mKSL4G17Wrro9AAZ1mGBhTYLo_vTeoSSFp_eE?e=5ioz5m","Open File")</f>
        <v>Open File</v>
      </c>
      <c r="F5" s="12" t="s">
        <v>19</v>
      </c>
      <c r="G5" s="9"/>
      <c r="H5" s="8" t="s">
        <v>10</v>
      </c>
      <c r="I5" s="12" t="s">
        <v>20</v>
      </c>
      <c r="J5" s="11">
        <v>885</v>
      </c>
      <c r="K5" s="10" t="str">
        <f>HYPERLINK("https://trrhq-my.sharepoint.com/:b:/g/personal/kanyarat_yim_trrgroup_com/IQCU_PxsAUrgQp8QeKW2VXHhAWeAmzIM3pgGkQtDL2vl44Y?e=QPpSQt","SCN-26-00033")</f>
        <v>SCN-26-00033</v>
      </c>
      <c r="L5" s="10" t="str">
        <f>HYPERLINK("https://trrhq-my.sharepoint.com/:b:/g/personal/kanyarat_yim_trrgroup_com/IQD7J2JffeqaRZa_UTqxER8yAR_tz_LRgO_AKf6HoVBm8xM?e=gwCQpx","CN-2608-0007")</f>
        <v>CN-2608-0007</v>
      </c>
      <c r="N5" s="6" t="s">
        <v>15</v>
      </c>
      <c r="O5" s="13" t="s">
        <v>25</v>
      </c>
    </row>
    <row r="6" spans="1:15" ht="138.6" x14ac:dyDescent="0.25">
      <c r="A6" s="8">
        <v>5</v>
      </c>
      <c r="B6" s="6">
        <v>160006</v>
      </c>
      <c r="C6" s="6" t="s">
        <v>13</v>
      </c>
      <c r="D6" s="12" t="s">
        <v>18</v>
      </c>
      <c r="E6" s="7" t="str">
        <f>HYPERLINK("https://trrhq-my.sharepoint.com/:b:/g/personal/kanyarat_yim_trrgroup_com/IQCG2fu_iqhpR6KoMsqOHqi0AU0kExtWsxvQv2rWuo2ftwM?e=BuoHEu","Open File")</f>
        <v>Open File</v>
      </c>
      <c r="F6" s="12" t="s">
        <v>21</v>
      </c>
      <c r="G6" s="9"/>
      <c r="H6" s="8" t="s">
        <v>10</v>
      </c>
      <c r="I6" s="12" t="s">
        <v>20</v>
      </c>
      <c r="J6" s="11">
        <v>265</v>
      </c>
      <c r="K6" s="10" t="str">
        <f>HYPERLINK("https://trrhq-my.sharepoint.com/:b:/g/personal/kanyarat_yim_trrgroup_com/IQAfGRCAUvZ-RLZCtmfnYE6CAetIEF-GTXHUtnhxN-ILs5A?e=WymQPj","SCN-26-00034")</f>
        <v>SCN-26-00034</v>
      </c>
      <c r="L6" s="10" t="str">
        <f>HYPERLINK("https://trrhq-my.sharepoint.com/:b:/g/personal/kanyarat_yim_trrgroup_com/IQDqgavGlOFyRKL439ateb3UAe3Ln-O4nfTGy4g9cmpempU?e=MEXqsX","CN-2608-0008")</f>
        <v>CN-2608-0008</v>
      </c>
      <c r="N6" s="6" t="s">
        <v>15</v>
      </c>
      <c r="O6" s="13" t="s">
        <v>25</v>
      </c>
    </row>
  </sheetData>
  <phoneticPr fontId="5" type="noConversion"/>
  <dataValidations count="2">
    <dataValidation type="list" allowBlank="1" showInputMessage="1" showErrorMessage="1" sqref="G1:H1048576" xr:uid="{4A6D6F1D-ECA2-4343-AB90-55BA013203C9}">
      <formula1>"✓,✗"</formula1>
    </dataValidation>
    <dataValidation type="list" allowBlank="1" showInputMessage="1" showErrorMessage="1" sqref="N1:N1048576" xr:uid="{D505A994-F96D-499E-AF70-16641EC1F989}">
      <formula1>"ASM-NO,ASM-SO,ASM-NE,ASM-BKK&amp;CE"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D5F20-3A31-4238-A76C-291A4FD60C3F}">
  <dimension ref="A1:O7"/>
  <sheetViews>
    <sheetView zoomScale="55" zoomScaleNormal="55" workbookViewId="0">
      <selection activeCell="D6" sqref="D6"/>
    </sheetView>
  </sheetViews>
  <sheetFormatPr defaultRowHeight="13.8" x14ac:dyDescent="0.25"/>
  <cols>
    <col min="1" max="1" width="6.3984375" bestFit="1" customWidth="1"/>
    <col min="2" max="2" width="13.8984375" bestFit="1" customWidth="1"/>
    <col min="3" max="3" width="17.59765625" customWidth="1"/>
    <col min="4" max="4" width="57.5" bestFit="1" customWidth="1"/>
    <col min="5" max="5" width="12.69921875" bestFit="1" customWidth="1"/>
    <col min="6" max="6" width="15.59765625" customWidth="1"/>
    <col min="7" max="9" width="11.69921875" customWidth="1"/>
    <col min="10" max="10" width="14.5" bestFit="1" customWidth="1"/>
    <col min="11" max="11" width="16.3984375" customWidth="1"/>
    <col min="12" max="12" width="13.3984375" bestFit="1" customWidth="1"/>
    <col min="13" max="13" width="11.69921875" customWidth="1"/>
  </cols>
  <sheetData>
    <row r="1" spans="1:15" ht="20.399999999999999" thickBot="1" x14ac:dyDescent="0.7">
      <c r="A1" s="2" t="s">
        <v>0</v>
      </c>
      <c r="B1" s="2" t="s">
        <v>11</v>
      </c>
      <c r="C1" s="2" t="s">
        <v>12</v>
      </c>
      <c r="D1" s="2" t="s">
        <v>2</v>
      </c>
      <c r="E1" s="2" t="s">
        <v>1</v>
      </c>
      <c r="F1" s="2" t="s">
        <v>16</v>
      </c>
      <c r="G1" s="2" t="s">
        <v>3</v>
      </c>
      <c r="H1" s="2" t="s">
        <v>4</v>
      </c>
      <c r="I1" s="2" t="s">
        <v>5</v>
      </c>
      <c r="J1" s="3" t="s">
        <v>14</v>
      </c>
      <c r="K1" s="4" t="s">
        <v>6</v>
      </c>
      <c r="L1" s="4" t="s">
        <v>7</v>
      </c>
      <c r="M1" s="2" t="s">
        <v>8</v>
      </c>
      <c r="N1" s="2" t="s">
        <v>9</v>
      </c>
      <c r="O1" s="2" t="s">
        <v>24</v>
      </c>
    </row>
    <row r="2" spans="1:15" ht="79.2" x14ac:dyDescent="0.25">
      <c r="A2" s="5">
        <v>6</v>
      </c>
      <c r="B2" s="6">
        <v>160006</v>
      </c>
      <c r="C2" s="6" t="s">
        <v>13</v>
      </c>
      <c r="D2" s="12" t="s">
        <v>23</v>
      </c>
      <c r="E2" s="7" t="str">
        <f>HYPERLINK("https://trrhq-my.sharepoint.com/:b:/g/personal/kanyarat_yim_trrgroup_com/IQAd5mFNcDXoT5bfaog_jS_WAUpMarlbXaGdm2VU6gFCCwY?e=Goougy","Open File")</f>
        <v>Open File</v>
      </c>
      <c r="F2" s="6" t="s">
        <v>22</v>
      </c>
      <c r="G2" s="8" t="s">
        <v>10</v>
      </c>
      <c r="H2" s="9"/>
      <c r="I2" s="12" t="s">
        <v>20</v>
      </c>
      <c r="J2" s="11">
        <v>2650</v>
      </c>
      <c r="K2" s="10" t="str">
        <f>HYPERLINK("https://trrhq-my.sharepoint.com/:b:/g/personal/kanyarat_yim_trrgroup_com/IQArmgM8J6lCR6l5vHsnp-ZnAUNmLaw_CL-cw0nWkFzgyxk?e=vjaKB8","SCN-26-00030")</f>
        <v>SCN-26-00030</v>
      </c>
      <c r="L2" s="10" t="str">
        <f>HYPERLINK("https://trrhq-my.sharepoint.com/:b:/g/personal/kanyarat_yim_trrgroup_com/IQCMW9fSrcToS5qxEw6el7RpAQTmm7yZR-Rm05_NK1itL0g?e=gMR8Rt","CN-2608-0004")</f>
        <v>CN-2608-0004</v>
      </c>
      <c r="M2" s="6"/>
      <c r="N2" s="6" t="s">
        <v>15</v>
      </c>
      <c r="O2" s="13" t="s">
        <v>25</v>
      </c>
    </row>
    <row r="3" spans="1:15" ht="79.2" x14ac:dyDescent="0.25">
      <c r="A3" s="8">
        <v>7</v>
      </c>
      <c r="B3" s="6">
        <v>160006</v>
      </c>
      <c r="C3" s="6" t="s">
        <v>13</v>
      </c>
      <c r="D3" s="12" t="s">
        <v>23</v>
      </c>
      <c r="E3" s="7" t="str">
        <f>HYPERLINK("https://trrhq-my.sharepoint.com/:b:/g/personal/kanyarat_yim_trrgroup_com/IQCqQlMuW1nLR5d0hKwRjVtsAZtSlfFOJqT5PWj9HmqpYWY?e=73xEvq","Open File")</f>
        <v>Open File</v>
      </c>
      <c r="F3" s="6" t="s">
        <v>17</v>
      </c>
      <c r="G3" s="8" t="s">
        <v>10</v>
      </c>
      <c r="H3" s="9"/>
      <c r="I3" s="12" t="s">
        <v>20</v>
      </c>
      <c r="J3" s="11">
        <v>5200</v>
      </c>
      <c r="K3" s="10" t="str">
        <f>HYPERLINK("https://trrhq-my.sharepoint.com/:b:/g/personal/kanyarat_yim_trrgroup_com/IQCcwiAWx3weQbqdFUWVvZXwASF4g5DymeUb3-BM49bot74?e=ggaUug","SCN-26-00031")</f>
        <v>SCN-26-00031</v>
      </c>
      <c r="L3" s="10" t="str">
        <f>HYPERLINK("https://trrhq-my.sharepoint.com/:b:/g/personal/kanyarat_yim_trrgroup_com/IQDHlLlEdf99RIJtCs-y8qnVAWdKcWY1HxxoFKB7AoGuiOw?e=ek4lqg","CN-2608-0005")</f>
        <v>CN-2608-0005</v>
      </c>
      <c r="M3" s="6"/>
      <c r="N3" s="6" t="s">
        <v>15</v>
      </c>
      <c r="O3" s="13" t="s">
        <v>25</v>
      </c>
    </row>
    <row r="4" spans="1:15" ht="138.6" x14ac:dyDescent="0.25">
      <c r="A4" s="8">
        <v>7</v>
      </c>
      <c r="B4" s="6">
        <v>160006</v>
      </c>
      <c r="C4" s="6" t="s">
        <v>13</v>
      </c>
      <c r="D4" s="12" t="s">
        <v>18</v>
      </c>
      <c r="E4" s="7" t="str">
        <f>HYPERLINK("https://trrhq-my.sharepoint.com/:b:/g/personal/kanyarat_yim_trrgroup_com/IQDt6lqFvPfkTrk7U4mekXqfASoxFu199r_6EdBIpP1NJro?e=EIxhNt","Open File")</f>
        <v>Open File</v>
      </c>
      <c r="F4" s="6" t="s">
        <v>17</v>
      </c>
      <c r="G4" s="9"/>
      <c r="H4" s="8" t="s">
        <v>10</v>
      </c>
      <c r="I4" s="12" t="s">
        <v>20</v>
      </c>
      <c r="J4" s="11">
        <v>1855</v>
      </c>
      <c r="K4" s="10" t="str">
        <f>HYPERLINK("https://trrhq-my.sharepoint.com/:b:/g/personal/kanyarat_yim_trrgroup_com/IQAR3D64oe9tTosUusZ4TKB_ASCNGdtrNGW_zBSRK896smM?e=1MRmql","SCN-26-00032")</f>
        <v>SCN-26-00032</v>
      </c>
      <c r="L4" s="10" t="str">
        <f>HYPERLINK("https://trrhq-my.sharepoint.com/:b:/g/personal/kanyarat_yim_trrgroup_com/IQCURz_Wq9WIR5Soyg5J9xBHAWE_-Tb8jJd4jp1Orx2yhl0?e=ynoMNQ","CN-2608-0006")</f>
        <v>CN-2608-0006</v>
      </c>
      <c r="M4" s="6"/>
      <c r="N4" s="6" t="s">
        <v>15</v>
      </c>
      <c r="O4" s="13" t="s">
        <v>25</v>
      </c>
    </row>
    <row r="5" spans="1:15" ht="138.6" x14ac:dyDescent="0.25">
      <c r="A5" s="8">
        <v>6</v>
      </c>
      <c r="B5" s="6">
        <v>160006</v>
      </c>
      <c r="C5" s="6" t="s">
        <v>13</v>
      </c>
      <c r="D5" s="12" t="s">
        <v>18</v>
      </c>
      <c r="E5" s="7" t="str">
        <f>HYPERLINK("https://trrhq-my.sharepoint.com/:b:/g/personal/kanyarat_yim_trrgroup_com/IQDVhvezg4mKSL4G17Wrro9AAZ1mGBhTYLo_vTeoSSFp_eE?e=5ioz5m","Open File")</f>
        <v>Open File</v>
      </c>
      <c r="F5" s="12" t="s">
        <v>19</v>
      </c>
      <c r="G5" s="9"/>
      <c r="H5" s="8" t="s">
        <v>10</v>
      </c>
      <c r="I5" s="12" t="s">
        <v>20</v>
      </c>
      <c r="J5" s="11">
        <v>885</v>
      </c>
      <c r="K5" s="10" t="str">
        <f>HYPERLINK("https://trrhq-my.sharepoint.com/:b:/g/personal/kanyarat_yim_trrgroup_com/IQCU_PxsAUrgQp8QeKW2VXHhAWeAmzIM3pgGkQtDL2vl44Y?e=QPpSQt","SCN-26-00033")</f>
        <v>SCN-26-00033</v>
      </c>
      <c r="L5" s="10" t="str">
        <f>HYPERLINK("https://trrhq-my.sharepoint.com/:b:/g/personal/kanyarat_yim_trrgroup_com/IQD7J2JffeqaRZa_UTqxER8yAR_tz_LRgO_AKf6HoVBm8xM?e=gwCQpx","CN-2608-0007")</f>
        <v>CN-2608-0007</v>
      </c>
      <c r="M5" s="6"/>
      <c r="N5" s="6" t="s">
        <v>15</v>
      </c>
      <c r="O5" s="13" t="s">
        <v>25</v>
      </c>
    </row>
    <row r="6" spans="1:15" ht="138.6" x14ac:dyDescent="0.25">
      <c r="A6" s="8">
        <v>5</v>
      </c>
      <c r="B6" s="6">
        <v>160006</v>
      </c>
      <c r="C6" s="6" t="s">
        <v>13</v>
      </c>
      <c r="D6" s="12" t="s">
        <v>18</v>
      </c>
      <c r="E6" s="7" t="str">
        <f>HYPERLINK("https://trrhq-my.sharepoint.com/:b:/g/personal/kanyarat_yim_trrgroup_com/IQCG2fu_iqhpR6KoMsqOHqi0AU0kExtWsxvQv2rWuo2ftwM?e=BuoHEu","Open File")</f>
        <v>Open File</v>
      </c>
      <c r="F6" s="12" t="s">
        <v>21</v>
      </c>
      <c r="G6" s="9"/>
      <c r="H6" s="8" t="s">
        <v>10</v>
      </c>
      <c r="I6" s="12" t="s">
        <v>20</v>
      </c>
      <c r="J6" s="11">
        <v>265</v>
      </c>
      <c r="K6" s="10" t="str">
        <f>HYPERLINK("https://trrhq-my.sharepoint.com/:b:/g/personal/kanyarat_yim_trrgroup_com/IQAfGRCAUvZ-RLZCtmfnYE6CAetIEF-GTXHUtnhxN-ILs5A?e=WymQPj","SCN-26-00034")</f>
        <v>SCN-26-00034</v>
      </c>
      <c r="L6" s="10" t="str">
        <f>HYPERLINK("https://trrhq-my.sharepoint.com/:b:/g/personal/kanyarat_yim_trrgroup_com/IQDqgavGlOFyRKL439ateb3UAe3Ln-O4nfTGy4g9cmpempU?e=MEXqsX","CN-2608-0008")</f>
        <v>CN-2608-0008</v>
      </c>
      <c r="M6" s="6"/>
      <c r="N6" s="6" t="s">
        <v>15</v>
      </c>
      <c r="O6" s="13" t="s">
        <v>25</v>
      </c>
    </row>
    <row r="7" spans="1:15" ht="25.2" x14ac:dyDescent="0.25">
      <c r="J7" s="14">
        <f>SUM(J2:J6)</f>
        <v>10855</v>
      </c>
    </row>
  </sheetData>
  <dataValidations count="2">
    <dataValidation type="list" allowBlank="1" showInputMessage="1" showErrorMessage="1" sqref="N1:N6" xr:uid="{1476C7B2-73C7-4F4F-85C2-4DD38C36D18E}">
      <formula1>"ASM-NO,ASM-SO,ASM-NE,ASM-BKK&amp;CE"</formula1>
    </dataValidation>
    <dataValidation type="list" allowBlank="1" showInputMessage="1" showErrorMessage="1" sqref="G1:H6" xr:uid="{499BBD40-E3C4-4523-88DE-6862DAB82320}">
      <formula1>"✓,✗"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รายการโปรโมชั่น</vt:lpstr>
      <vt:lpstr>ณ ขจร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Kanyarat Yimnongtao</dc:creator>
  <cp:lastModifiedBy>Kanyarat Yimnongtao</cp:lastModifiedBy>
  <dcterms:created xsi:type="dcterms:W3CDTF">2026-08-19T06:25:08Z</dcterms:created>
  <dcterms:modified xsi:type="dcterms:W3CDTF">2026-08-27T10:40:40Z</dcterms:modified>
</cp:coreProperties>
</file>